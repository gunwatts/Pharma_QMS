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GanapathiPolisetti\Visual code\QMS_Tracker\qms_tracker\"/>
    </mc:Choice>
  </mc:AlternateContent>
  <xr:revisionPtr revIDLastSave="0" documentId="13_ncr:1_{6B403B79-DAA9-487E-917D-32BC497038FB}" xr6:coauthVersionLast="47" xr6:coauthVersionMax="47" xr10:uidLastSave="{00000000-0000-0000-0000-000000000000}"/>
  <bookViews>
    <workbookView xWindow="-120" yWindow="-120" windowWidth="20730" windowHeight="11040" xr2:uid="{00000000-000D-0000-FFFF-FFFF00000000}"/>
  </bookViews>
  <sheets>
    <sheet name="OPEN QMS" sheetId="1" r:id="rId1"/>
    <sheet name="30-6-25 PD" sheetId="2" state="hidden" r:id="rId2"/>
    <sheet name="30-6-25 QC" sheetId="3" state="hidden" r:id="rId3"/>
    <sheet name="CAPA status" sheetId="4" state="hidden" r:id="rId4"/>
  </sheets>
  <externalReferences>
    <externalReference r:id="rId5"/>
  </externalReferences>
  <definedNames>
    <definedName name="_xlnm._FilterDatabase" localSheetId="3" hidden="1">'CAPA status'!$A$1:$N$13</definedName>
    <definedName name="Holidays">[1]Data!$J$5:$J$14</definedName>
    <definedName name="_xlnm.Print_Area" localSheetId="0">'OPEN QMS'!$A$1:$G$9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4" l="1"/>
  <c r="C9" i="4"/>
  <c r="C8" i="4"/>
  <c r="C7" i="4"/>
  <c r="C6" i="4"/>
  <c r="C5" i="4"/>
  <c r="C4" i="4"/>
  <c r="C3" i="4"/>
  <c r="C2" i="4"/>
</calcChain>
</file>

<file path=xl/sharedStrings.xml><?xml version="1.0" encoding="utf-8"?>
<sst xmlns="http://schemas.openxmlformats.org/spreadsheetml/2006/main" count="125" uniqueCount="90">
  <si>
    <t>S.No</t>
  </si>
  <si>
    <t>QMS No</t>
  </si>
  <si>
    <t>Type</t>
  </si>
  <si>
    <t>Description</t>
  </si>
  <si>
    <t>Target Date</t>
  </si>
  <si>
    <t>CAPA/PD/25/005</t>
  </si>
  <si>
    <t>CAPA/QC/25/006</t>
  </si>
  <si>
    <t>CAPA/QC/25/007</t>
  </si>
  <si>
    <t>CAPA/QC/25/008</t>
  </si>
  <si>
    <t>CAPA/PD/25/009</t>
  </si>
  <si>
    <t>CAPA/PD/25/010</t>
  </si>
  <si>
    <t>CAPA/PD/25/011</t>
  </si>
  <si>
    <t>CAPA/PD/25/012</t>
  </si>
  <si>
    <t>CAPA</t>
  </si>
  <si>
    <t>Proposed to revise the Operation and calibration of auto titrator (OPP/SOP/QC/084-05) to incorporate the regeneration procedure</t>
  </si>
  <si>
    <t>As a Preventive action an alterante superior method shall be developed and validated in mean time existing  validation method shall be continued for analysis</t>
  </si>
  <si>
    <t>CA:1.The PSD test procedure in STP (RMP-0430-00) shall be revised as per the new validated method.
2.The material under rejection shall be kept under quarantine area with label and analysis shall be continued with revised STP</t>
  </si>
  <si>
    <t>Multiple recipes shall be evaluated in all 21 CFR equipment's and duplicate recipes will be deleted through general activity protocol</t>
  </si>
  <si>
    <t>CA:i)TOATA5002 shall be rejected
ii) existing API stock shall be re-evaluated against revised spec
PA:i)sifting procedure to be elaborated
ii)API spec to be revised for PSD</t>
  </si>
  <si>
    <t>PA: The BMR of Cariprazine Capsules 3mg(BMR/CARCB/001-03) to be revised to include the calculation for capsule fill weight adjustment to 100%, based on the assay of lubricated blend</t>
  </si>
  <si>
    <t>CA: Training to be imparted to the concern operator on procedure
PA: BMR to be revised to include clear instrutions on procedure</t>
  </si>
  <si>
    <t>OOS-IP-25-017</t>
  </si>
  <si>
    <t>For the test Assay by HPLC of the product Tofacitib ER tablets 11 mg, it was observed that the result obtained as 107.8% against the specification limit 95.0% - 105.0%</t>
  </si>
  <si>
    <t>OOT-25-024</t>
  </si>
  <si>
    <t>OOT-25-025</t>
  </si>
  <si>
    <t>During testing of Rivaroxaban tablets 20mg for the test Water content  the results obtained as 5.9%  against the OOS limit NMT 7.0% m/m and OOT limits: Min:3.0 % and Max:4.3%</t>
  </si>
  <si>
    <t>During testing of Cariprazine capsules 3mg for the test Assay (finished) result obtained as 96.7 against to OOS limit (95.0 to 105.0%) and OOT limits (Min:97.0% Max:103.0%)</t>
  </si>
  <si>
    <t>PC-PD-25-052</t>
  </si>
  <si>
    <t>PC-QC-25-120</t>
  </si>
  <si>
    <t>PC</t>
  </si>
  <si>
    <t>Proposed to Change the Existing Quarantine area - III as designated clean equipment area to improve the space utilization as per the Current Operational demands</t>
  </si>
  <si>
    <t>Proposed to revise the Specification and STP of the Favipiravir, Dabigatran, Ketorolac, Aminocorpic acid, Lactose, Opadry, MCC, Hand Praffin as per the current SOP Format</t>
  </si>
  <si>
    <t>NA</t>
  </si>
  <si>
    <t>CAPA/PD/23/043</t>
  </si>
  <si>
    <t>CAPA/PD/23/056</t>
  </si>
  <si>
    <t>CAPA/PD/23/058</t>
  </si>
  <si>
    <t xml:space="preserve">As a corrective action fill content calculation to be done manually at encapsulation stage.
As a preventive action BMR to be revised.
10 batches to be monitored. </t>
  </si>
  <si>
    <t>i) The next two process validation batches shall be monitor and based on PVR BMR shall be revised.
Ii) After completion of 10 commercial batches, Yield trend shall be establish and BMR shall be revise.
Iii) The SOP for Preparation, review, approval and control of BMR/BPR (OPP/SOP/QA/019) shall be revised to include the brief procedure for revision of BMR/BPR based on PVR/EBR.</t>
  </si>
  <si>
    <t>As a corrective action as per the SOP(OPP/SOP/PD/025) I.e. after 10 commercial batches the yield trend of Tiopronin Delayed Release Tablets 300 mg will be prepared.Afterthat BMR(BMR/TIOTB/001-01) and BPR (BPR/TIOTB/002-00) shall be revised . As a preventive action , After completion of 10 commercial batches BMR (BMR/TIOTB/001-01) &amp; BPR (BPR/TIOTB/002-00) will be revise.</t>
  </si>
  <si>
    <t>Issued on</t>
  </si>
  <si>
    <t>CAPA No.</t>
  </si>
  <si>
    <t>Dept</t>
  </si>
  <si>
    <t xml:space="preserve">Description </t>
  </si>
  <si>
    <t>Customer name</t>
  </si>
  <si>
    <t>CODE-Project/Material name</t>
  </si>
  <si>
    <t>Approval  Date</t>
  </si>
  <si>
    <t xml:space="preserve">QMS Reference </t>
  </si>
  <si>
    <t>QMS Description</t>
  </si>
  <si>
    <t>No. of Extensions</t>
  </si>
  <si>
    <t>1st Extension Date</t>
  </si>
  <si>
    <t>2nd Extension Date</t>
  </si>
  <si>
    <t>PD</t>
  </si>
  <si>
    <t>appco</t>
  </si>
  <si>
    <t>DILCO- Diltiazem</t>
  </si>
  <si>
    <t>GI-PD-25-004</t>
  </si>
  <si>
    <t>On date 11 FEB 2025 at functional stage coating of Diltiazem HCl ER capsules USP 60mg, 90mg and 120mg of Batch number DILCO5001, residual solvents test, observed  results at higher side (i.e 4750PPM in Iso propyl alcohol)</t>
  </si>
  <si>
    <t>LIR-QC-25-035</t>
  </si>
  <si>
    <t>During Calibration of Potencymetry for test precision it was noticed that %RSD of three preparations found not meeting acceptance criteria.</t>
  </si>
  <si>
    <t>LIR-QC-25-040</t>
  </si>
  <si>
    <t>Cabergoline Tablets 0.5mg</t>
  </si>
  <si>
    <t>OOS-RM-24-031</t>
  </si>
  <si>
    <t>GI-PD-25-006</t>
  </si>
  <si>
    <t>During the review of Diltiazem HCl ER capsules 60mg,90mg and 120mg of batches DILCO5001,DILCO5002 and DILCO5003. In the batch reports observed that recipie set parameters are not captured in batch reports of FBE(PDE002)</t>
  </si>
  <si>
    <t>Tofacitinib ER tablets 11 mg</t>
  </si>
  <si>
    <t>Cariprazine Capsules 3mg</t>
  </si>
  <si>
    <t>lupin</t>
  </si>
  <si>
    <t>RIVTJ-Rivaroxaban tablets 20mg</t>
  </si>
  <si>
    <t>CAPA/QC/25/013</t>
  </si>
  <si>
    <t>CA: Repeat analysis perfomed and found complies
PA: Analyst Mr B.Dileep-103724 shall be monitored for 30 days on dissolution activites.</t>
  </si>
  <si>
    <t xml:space="preserve">Ropinirole </t>
  </si>
  <si>
    <t>LIR-QC-25-053</t>
  </si>
  <si>
    <t>During the raw data review of the method transfer activity for the Organic impurity test of product Ropinirole tablets for the method precision parameter abnormal results were noticed</t>
  </si>
  <si>
    <t>Dabigatran Etexelate mesilate pellets 35% w/w</t>
  </si>
  <si>
    <t>Torrent</t>
  </si>
  <si>
    <t>Tiopronin DR tablets 100 mg</t>
  </si>
  <si>
    <t>Tiopronin DR tablets 300 mg</t>
  </si>
  <si>
    <t>CA: Sample collected every lot wise the residual solvent will be verified and drying will be performed
PA: Based upon the Exhibit process validation report further BMR shall be revised.</t>
  </si>
  <si>
    <t>QA observation</t>
  </si>
  <si>
    <t>OPEN METHOD DEVELOPING STATUS</t>
  </si>
  <si>
    <t>REVISING BMR's</t>
  </si>
  <si>
    <t>BMR to be revised-mail</t>
  </si>
  <si>
    <t>no need of mail</t>
  </si>
  <si>
    <t xml:space="preserve"> no need</t>
  </si>
  <si>
    <t>closing at malli sir</t>
  </si>
  <si>
    <t>protocol , to be effective reviewed and executed</t>
  </si>
  <si>
    <t>batches to be executed</t>
  </si>
  <si>
    <t>PVR NOT DONE</t>
  </si>
  <si>
    <t>Initiation date</t>
  </si>
  <si>
    <t>Department</t>
  </si>
  <si>
    <t>Background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</si>
</sst>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6" x14ac:knownFonts="1">
    <font>
      <sz val="11"/>
      <color theme="1"/>
      <name val="Calibri"/>
      <family val="2"/>
      <scheme val="minor"/>
    </font>
    <font>
      <sz val="12"/>
      <color theme="1"/>
      <name val="Times New Roman"/>
      <family val="1"/>
    </font>
    <font>
      <sz val="12"/>
      <color rgb="FF000000"/>
      <name val="Times New Roman"/>
      <family val="1"/>
    </font>
    <font>
      <b/>
      <sz val="12"/>
      <color theme="0"/>
      <name val="Times New Roman"/>
      <family val="1"/>
    </font>
    <font>
      <b/>
      <sz val="10"/>
      <name val="Times New Roman"/>
      <family val="1"/>
    </font>
    <font>
      <sz val="14"/>
      <color theme="1"/>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2">
    <xf numFmtId="0" fontId="0" fillId="0" borderId="0" xfId="0"/>
    <xf numFmtId="0" fontId="1" fillId="0" borderId="1" xfId="0" applyFont="1" applyBorder="1" applyAlignment="1">
      <alignment horizontal="center" vertical="center"/>
    </xf>
    <xf numFmtId="164" fontId="1" fillId="0" borderId="1" xfId="0" applyNumberFormat="1" applyFont="1" applyBorder="1" applyAlignment="1">
      <alignment horizontal="center" vertical="center" wrapText="1"/>
    </xf>
    <xf numFmtId="0" fontId="1" fillId="0" borderId="1" xfId="0" applyFont="1" applyBorder="1" applyAlignment="1">
      <alignment horizontal="left" vertical="center" wrapText="1"/>
    </xf>
    <xf numFmtId="0" fontId="1" fillId="0" borderId="0" xfId="0" applyFont="1"/>
    <xf numFmtId="164" fontId="1" fillId="0" borderId="1" xfId="0" applyNumberFormat="1" applyFont="1" applyBorder="1" applyAlignment="1">
      <alignment horizontal="center" vertical="center"/>
    </xf>
    <xf numFmtId="0" fontId="2" fillId="0" borderId="1" xfId="0" applyFont="1" applyBorder="1" applyAlignment="1">
      <alignment horizontal="left" vertical="top" wrapText="1"/>
    </xf>
    <xf numFmtId="0" fontId="1" fillId="0" borderId="2"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left"/>
    </xf>
    <xf numFmtId="0" fontId="3" fillId="2" borderId="5" xfId="0" applyFont="1" applyFill="1" applyBorder="1" applyAlignment="1">
      <alignment horizontal="center" vertical="center"/>
    </xf>
    <xf numFmtId="0" fontId="3" fillId="2" borderId="5" xfId="0" applyFont="1" applyFill="1" applyBorder="1" applyAlignment="1">
      <alignment horizontal="left"/>
    </xf>
    <xf numFmtId="0" fontId="3" fillId="2" borderId="6" xfId="0" applyFont="1" applyFill="1" applyBorder="1" applyAlignment="1">
      <alignment horizontal="center" vertical="center"/>
    </xf>
    <xf numFmtId="164" fontId="1" fillId="0" borderId="7" xfId="0" applyNumberFormat="1" applyFont="1" applyBorder="1" applyAlignment="1">
      <alignment horizontal="center" vertical="center"/>
    </xf>
    <xf numFmtId="0" fontId="3" fillId="2" borderId="4" xfId="0" applyFont="1" applyFill="1" applyBorder="1" applyAlignment="1">
      <alignment horizontal="center" vertical="center"/>
    </xf>
    <xf numFmtId="0" fontId="0" fillId="0" borderId="3" xfId="0" applyBorder="1" applyAlignment="1">
      <alignment horizontal="center" vertical="center"/>
    </xf>
    <xf numFmtId="0" fontId="0" fillId="0" borderId="8" xfId="0" applyBorder="1" applyAlignment="1">
      <alignment horizontal="center" vertical="center"/>
    </xf>
    <xf numFmtId="0" fontId="1" fillId="0" borderId="2" xfId="0" applyFont="1" applyBorder="1" applyAlignment="1">
      <alignment horizontal="center" vertical="center" wrapText="1"/>
    </xf>
    <xf numFmtId="164" fontId="1" fillId="0" borderId="9" xfId="0" applyNumberFormat="1" applyFont="1" applyBorder="1" applyAlignment="1">
      <alignment horizontal="center" vertical="center"/>
    </xf>
    <xf numFmtId="0" fontId="0" fillId="0" borderId="1" xfId="0" applyBorder="1" applyAlignment="1">
      <alignment horizontal="center" vertical="center"/>
    </xf>
    <xf numFmtId="164" fontId="4" fillId="3" borderId="1" xfId="0" applyNumberFormat="1" applyFont="1" applyFill="1" applyBorder="1" applyAlignment="1">
      <alignment horizontal="center" vertical="center" wrapText="1"/>
    </xf>
    <xf numFmtId="0" fontId="4" fillId="3" borderId="1" xfId="0" applyFont="1" applyFill="1" applyBorder="1" applyAlignment="1">
      <alignment horizontal="center" vertical="center" wrapText="1"/>
    </xf>
    <xf numFmtId="164" fontId="0" fillId="0" borderId="1" xfId="0" applyNumberForma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5" fillId="0" borderId="1" xfId="0" applyFont="1" applyBorder="1" applyAlignment="1" applyProtection="1">
      <alignment horizontal="center" vertical="center" wrapText="1"/>
      <protection locked="0"/>
    </xf>
    <xf numFmtId="1" fontId="0" fillId="0" borderId="1" xfId="0" applyNumberFormat="1" applyBorder="1" applyAlignment="1">
      <alignment horizontal="center" vertical="center"/>
    </xf>
    <xf numFmtId="164" fontId="4" fillId="3" borderId="0" xfId="0" applyNumberFormat="1" applyFont="1" applyFill="1" applyAlignment="1">
      <alignment horizontal="center" vertical="center" wrapText="1"/>
    </xf>
    <xf numFmtId="164" fontId="0" fillId="0" borderId="0" xfId="0" applyNumberFormat="1" applyAlignment="1">
      <alignment horizontal="center" vertical="center"/>
    </xf>
    <xf numFmtId="164" fontId="0" fillId="0" borderId="0" xfId="0" applyNumberFormat="1" applyAlignment="1">
      <alignment horizontal="center" vertical="center" wrapText="1"/>
    </xf>
    <xf numFmtId="164" fontId="0" fillId="0" borderId="1" xfId="0" applyNumberFormat="1" applyBorder="1" applyAlignment="1">
      <alignment horizontal="center" vertical="center" wrapText="1"/>
    </xf>
    <xf numFmtId="0" fontId="0" fillId="0" borderId="0" xfId="0" applyAlignment="1">
      <alignment wrapText="1"/>
    </xf>
    <xf numFmtId="0" fontId="1" fillId="0" borderId="1" xfId="0" applyFont="1" applyBorder="1" applyAlignment="1">
      <alignment horizontal="left" wrapText="1"/>
    </xf>
    <xf numFmtId="0" fontId="1" fillId="0" borderId="0" xfId="0" applyFont="1" applyAlignment="1">
      <alignment horizontal="left" wrapText="1"/>
    </xf>
    <xf numFmtId="164" fontId="1" fillId="0" borderId="1" xfId="0" applyNumberFormat="1" applyFont="1" applyBorder="1" applyAlignment="1" applyProtection="1">
      <alignment horizontal="center" vertical="center"/>
      <protection locked="0"/>
    </xf>
    <xf numFmtId="164" fontId="1" fillId="0" borderId="0" xfId="0" applyNumberFormat="1" applyFont="1" applyAlignment="1">
      <alignment horizontal="center" vertical="center"/>
    </xf>
    <xf numFmtId="0" fontId="1" fillId="0" borderId="1" xfId="0" applyFont="1" applyBorder="1" applyAlignment="1" applyProtection="1">
      <alignment vertical="center" wrapText="1"/>
      <protection locked="0"/>
    </xf>
    <xf numFmtId="0" fontId="1" fillId="0" borderId="1" xfId="0" applyFont="1" applyBorder="1" applyAlignment="1" applyProtection="1">
      <alignment horizontal="left" vertical="center" wrapText="1"/>
      <protection locked="0"/>
    </xf>
    <xf numFmtId="164" fontId="1" fillId="0" borderId="1" xfId="0" applyNumberFormat="1" applyFont="1" applyBorder="1" applyAlignment="1" applyProtection="1">
      <alignment horizontal="center" vertical="center" wrapText="1"/>
      <protection locked="0"/>
    </xf>
    <xf numFmtId="0" fontId="1" fillId="0" borderId="5" xfId="0" applyFont="1" applyBorder="1"/>
    <xf numFmtId="0" fontId="1" fillId="0" borderId="1" xfId="0" applyFont="1" applyBorder="1"/>
  </cellXfs>
  <cellStyles count="1">
    <cellStyle name="Normal" xfId="0" builtinId="0"/>
  </cellStyles>
  <dxfs count="23">
    <dxf>
      <font>
        <strike val="0"/>
        <outline val="0"/>
        <shadow val="0"/>
        <u val="none"/>
        <vertAlign val="baseline"/>
        <sz val="12"/>
        <color theme="1"/>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numFmt numFmtId="164" formatCode="d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numFmt numFmtId="164" formatCode="d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dxf>
    <dxf>
      <border>
        <bottom style="thin">
          <color indexed="64"/>
        </bottom>
      </border>
    </dxf>
    <dxf>
      <font>
        <b/>
        <i val="0"/>
        <strike val="0"/>
        <condense val="0"/>
        <extend val="0"/>
        <outline val="0"/>
        <shadow val="0"/>
        <u val="none"/>
        <vertAlign val="baseline"/>
        <sz val="12"/>
        <color theme="0"/>
        <name val="Times New Roman"/>
        <family val="1"/>
        <scheme val="none"/>
      </font>
      <fill>
        <patternFill patternType="solid">
          <fgColor theme="4"/>
          <bgColor theme="4"/>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dxf>
    <dxf>
      <border>
        <bottom style="thin">
          <color indexed="64"/>
        </bottom>
      </border>
    </dxf>
    <dxf>
      <font>
        <strike val="0"/>
        <outline val="0"/>
        <shadow val="0"/>
        <u val="none"/>
        <vertAlign val="baseline"/>
        <sz val="12"/>
        <color theme="1"/>
        <name val="Times New Roman"/>
        <family val="1"/>
        <scheme val="none"/>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itsr005\QMS_Master_lists\QMS\2025%20QMS%20Logs\LIR-2025.xlsm" TargetMode="External"/><Relationship Id="rId1" Type="http://schemas.openxmlformats.org/officeDocument/2006/relationships/externalLinkPath" Target="https://sekhmetpharmaventures-my.sharepoint.com/QMS/2025%20QMS%20Logs/LIR-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boratory Incident 2025"/>
      <sheetName val="Sheet1"/>
      <sheetName val="Data"/>
    </sheetNames>
    <sheetDataSet>
      <sheetData sheetId="0" refreshError="1"/>
      <sheetData sheetId="1" refreshError="1"/>
      <sheetData sheetId="2" refreshError="1">
        <row r="5">
          <cell r="J5">
            <v>45658</v>
          </cell>
        </row>
        <row r="6">
          <cell r="J6">
            <v>45671</v>
          </cell>
        </row>
        <row r="7">
          <cell r="J7">
            <v>45683</v>
          </cell>
        </row>
        <row r="8">
          <cell r="J8">
            <v>45730</v>
          </cell>
        </row>
        <row r="9">
          <cell r="J9">
            <v>45778</v>
          </cell>
        </row>
        <row r="10">
          <cell r="J10">
            <v>45810</v>
          </cell>
        </row>
        <row r="11">
          <cell r="J11">
            <v>45884</v>
          </cell>
        </row>
        <row r="12">
          <cell r="J12">
            <v>45896</v>
          </cell>
        </row>
        <row r="13">
          <cell r="J13">
            <v>45932</v>
          </cell>
        </row>
        <row r="14">
          <cell r="J14">
            <v>45950</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AD9322-AAAB-4702-8243-C2BF4FA5E843}" name="Table1" displayName="Table1" ref="A1:H9" totalsRowShown="0" headerRowDxfId="22" dataDxfId="20" headerRowBorderDxfId="21" tableBorderDxfId="19" totalsRowBorderDxfId="18">
  <tableColumns count="8">
    <tableColumn id="1" xr3:uid="{3CF249EB-62B3-41E4-A6CE-F2C086A239E7}" name="S.No" dataDxfId="7"/>
    <tableColumn id="11" xr3:uid="{49180F14-31E7-4588-966D-3B3F2EB926B2}" name="Initiation date" dataDxfId="6"/>
    <tableColumn id="2" xr3:uid="{90C9A7A5-80EC-4617-B40F-806934F3865C}" name="QMS No" dataDxfId="5"/>
    <tableColumn id="3" xr3:uid="{AF3D6486-4A3C-4E9B-BBEA-14AD375959C8}" name="Type" dataDxfId="4"/>
    <tableColumn id="12" xr3:uid="{523638F7-F6E8-41F0-82B5-74182EB7C06D}" name="Department" dataDxfId="3"/>
    <tableColumn id="4" xr3:uid="{CD487BDC-135A-4DBD-8060-D2DFCB9A92D7}" name="Description" dataDxfId="2"/>
    <tableColumn id="5" xr3:uid="{B19EB21A-0EA5-4CAA-AC55-2F875391031D}" name="Target Date" dataDxfId="1"/>
    <tableColumn id="6" xr3:uid="{B27F49F3-C212-4445-9EF1-BCCCBA73BC75}" name="Background"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7AD35F-776B-4D67-AB7D-A4C965C2110A}" name="Table2" displayName="Table2" ref="A1:E4" totalsRowShown="0" headerRowDxfId="17" dataDxfId="15" headerRowBorderDxfId="16" tableBorderDxfId="14" totalsRowBorderDxfId="13">
  <autoFilter ref="A1:E4" xr:uid="{CC7AD35F-776B-4D67-AB7D-A4C965C2110A}"/>
  <tableColumns count="5">
    <tableColumn id="1" xr3:uid="{F6DD33AD-7122-497F-8F4A-7BAC317B3920}" name="S.No" dataDxfId="12"/>
    <tableColumn id="2" xr3:uid="{F4A489FF-15F7-4DE9-8B1C-1467ACC87C4E}" name="QMS No" dataDxfId="11"/>
    <tableColumn id="3" xr3:uid="{1B405DC3-2126-461A-A0F5-0B2CA7639EA0}" name="Type" dataDxfId="10"/>
    <tableColumn id="4" xr3:uid="{069AFE52-5AE7-42C9-A60E-98525129CC04}" name="Description" dataDxfId="9"/>
    <tableColumn id="5" xr3:uid="{0C43F975-8436-4DFA-B241-79BBCB0EB7B6}" name="Target Date" dataDxfId="8"/>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9"/>
  <sheetViews>
    <sheetView tabSelected="1" topLeftCell="C1" zoomScaleNormal="100" zoomScaleSheetLayoutView="55" workbookViewId="0">
      <selection activeCell="H5" sqref="H5"/>
    </sheetView>
  </sheetViews>
  <sheetFormatPr defaultRowHeight="15.75" x14ac:dyDescent="0.25"/>
  <cols>
    <col min="1" max="1" width="7.42578125" style="8" customWidth="1"/>
    <col min="2" max="2" width="19" style="36" bestFit="1" customWidth="1"/>
    <col min="3" max="3" width="18.42578125" style="8" bestFit="1" customWidth="1"/>
    <col min="4" max="4" width="7.28515625" style="8" customWidth="1"/>
    <col min="5" max="5" width="17" style="8" bestFit="1" customWidth="1"/>
    <col min="6" max="6" width="82.28515625" style="34" customWidth="1"/>
    <col min="7" max="7" width="34.5703125" style="36" bestFit="1" customWidth="1"/>
    <col min="8" max="8" width="12.5703125" style="4" bestFit="1" customWidth="1"/>
    <col min="9" max="16384" width="9.140625" style="4"/>
  </cols>
  <sheetData>
    <row r="1" spans="1:8" x14ac:dyDescent="0.25">
      <c r="A1" s="1" t="s">
        <v>0</v>
      </c>
      <c r="B1" s="5" t="s">
        <v>87</v>
      </c>
      <c r="C1" s="1" t="s">
        <v>1</v>
      </c>
      <c r="D1" s="1" t="s">
        <v>2</v>
      </c>
      <c r="E1" s="1" t="s">
        <v>88</v>
      </c>
      <c r="F1" s="33" t="s">
        <v>3</v>
      </c>
      <c r="G1" s="33" t="s">
        <v>4</v>
      </c>
      <c r="H1" s="40" t="s">
        <v>89</v>
      </c>
    </row>
    <row r="2" spans="1:8" x14ac:dyDescent="0.25">
      <c r="A2" s="1"/>
      <c r="B2" s="35"/>
      <c r="C2" s="1"/>
      <c r="D2" s="1"/>
      <c r="E2" s="1"/>
      <c r="F2" s="3"/>
      <c r="G2" s="2"/>
      <c r="H2" s="41"/>
    </row>
    <row r="3" spans="1:8" x14ac:dyDescent="0.25">
      <c r="A3" s="1"/>
      <c r="B3" s="35"/>
      <c r="C3" s="1"/>
      <c r="D3" s="1"/>
      <c r="E3" s="1"/>
      <c r="F3" s="3"/>
      <c r="G3" s="2"/>
      <c r="H3" s="41"/>
    </row>
    <row r="4" spans="1:8" x14ac:dyDescent="0.25">
      <c r="A4" s="1"/>
      <c r="B4" s="35"/>
      <c r="C4" s="1"/>
      <c r="D4" s="1"/>
      <c r="E4" s="1"/>
      <c r="F4" s="37"/>
      <c r="G4" s="2"/>
      <c r="H4" s="41"/>
    </row>
    <row r="5" spans="1:8" x14ac:dyDescent="0.25">
      <c r="A5" s="1"/>
      <c r="B5" s="35"/>
      <c r="C5" s="1"/>
      <c r="D5" s="1"/>
      <c r="E5" s="1"/>
      <c r="F5" s="38"/>
      <c r="G5" s="2"/>
      <c r="H5" s="41"/>
    </row>
    <row r="6" spans="1:8" x14ac:dyDescent="0.25">
      <c r="A6" s="1"/>
      <c r="B6" s="35"/>
      <c r="C6" s="1"/>
      <c r="D6" s="1"/>
      <c r="E6" s="1"/>
      <c r="F6" s="38"/>
      <c r="G6" s="2"/>
      <c r="H6" s="41"/>
    </row>
    <row r="7" spans="1:8" x14ac:dyDescent="0.25">
      <c r="A7" s="1"/>
      <c r="B7" s="35"/>
      <c r="C7" s="1"/>
      <c r="D7" s="1"/>
      <c r="E7" s="1"/>
      <c r="F7" s="38"/>
      <c r="G7" s="2"/>
      <c r="H7" s="41"/>
    </row>
    <row r="8" spans="1:8" x14ac:dyDescent="0.25">
      <c r="A8" s="1"/>
      <c r="B8" s="35"/>
      <c r="C8" s="1"/>
      <c r="D8" s="1"/>
      <c r="E8" s="1"/>
      <c r="F8" s="38"/>
      <c r="G8" s="2"/>
      <c r="H8" s="41"/>
    </row>
    <row r="9" spans="1:8" x14ac:dyDescent="0.25">
      <c r="A9" s="1"/>
      <c r="B9" s="35"/>
      <c r="C9" s="1"/>
      <c r="D9" s="1"/>
      <c r="E9" s="1"/>
      <c r="F9" s="3"/>
      <c r="G9" s="39"/>
      <c r="H9" s="41"/>
    </row>
  </sheetData>
  <protectedRanges>
    <protectedRange algorithmName="SHA-512" hashValue="bBKWUxnPhH2ABztyCsyOCA85/vsx0LqHWyN/NaexehePXsxEFA7mjBy3TKXWhhR1nwN8YnMKqvBmj0B3uPVZ1A==" saltValue="GHyjBwzJF7Pn/CtDv21amQ==" spinCount="100000" sqref="C4:C8" name="Range1_50"/>
    <protectedRange algorithmName="SHA-512" hashValue="bBKWUxnPhH2ABztyCsyOCA85/vsx0LqHWyN/NaexehePXsxEFA7mjBy3TKXWhhR1nwN8YnMKqvBmj0B3uPVZ1A==" saltValue="GHyjBwzJF7Pn/CtDv21amQ==" spinCount="100000" sqref="F4:F5" name="Range1_51"/>
    <protectedRange algorithmName="SHA-512" hashValue="bBKWUxnPhH2ABztyCsyOCA85/vsx0LqHWyN/NaexehePXsxEFA7mjBy3TKXWhhR1nwN8YnMKqvBmj0B3uPVZ1A==" saltValue="GHyjBwzJF7Pn/CtDv21amQ==" spinCount="100000" sqref="F6:F8" name="Range1_10"/>
    <protectedRange algorithmName="SHA-512" hashValue="bBKWUxnPhH2ABztyCsyOCA85/vsx0LqHWyN/NaexehePXsxEFA7mjBy3TKXWhhR1nwN8YnMKqvBmj0B3uPVZ1A==" saltValue="GHyjBwzJF7Pn/CtDv21amQ==" spinCount="100000" sqref="B2:B3" name="Range1_22"/>
    <protectedRange algorithmName="SHA-512" hashValue="bBKWUxnPhH2ABztyCsyOCA85/vsx0LqHWyN/NaexehePXsxEFA7mjBy3TKXWhhR1nwN8YnMKqvBmj0B3uPVZ1A==" saltValue="GHyjBwzJF7Pn/CtDv21amQ==" spinCount="100000" sqref="B4" name="Range1_23"/>
    <protectedRange algorithmName="SHA-512" hashValue="bBKWUxnPhH2ABztyCsyOCA85/vsx0LqHWyN/NaexehePXsxEFA7mjBy3TKXWhhR1nwN8YnMKqvBmj0B3uPVZ1A==" saltValue="GHyjBwzJF7Pn/CtDv21amQ==" spinCount="100000" sqref="B5:B7" name="Range1_28"/>
    <protectedRange algorithmName="SHA-512" hashValue="bBKWUxnPhH2ABztyCsyOCA85/vsx0LqHWyN/NaexehePXsxEFA7mjBy3TKXWhhR1nwN8YnMKqvBmj0B3uPVZ1A==" saltValue="GHyjBwzJF7Pn/CtDv21amQ==" spinCount="100000" sqref="B8" name="Range1_30"/>
    <protectedRange algorithmName="SHA-512" hashValue="bBKWUxnPhH2ABztyCsyOCA85/vsx0LqHWyN/NaexehePXsxEFA7mjBy3TKXWhhR1nwN8YnMKqvBmj0B3uPVZ1A==" saltValue="GHyjBwzJF7Pn/CtDv21amQ==" spinCount="100000" sqref="G4:G8" name="Range1_33"/>
  </protectedRanges>
  <dataValidations count="1">
    <dataValidation type="textLength" operator="equal" allowBlank="1" showInputMessage="1" showErrorMessage="1" sqref="C2:C9" xr:uid="{61437A0C-37CB-4D17-8677-F9E0E7CD2383}">
      <formula1>13</formula1>
    </dataValidation>
  </dataValidations>
  <pageMargins left="0.25" right="0.25" top="0.75" bottom="0.75" header="0.3" footer="0.3"/>
  <pageSetup paperSize="9" scale="71" fitToHeight="0"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D40CC-3637-4AC8-951B-8C8A0D6FA4C0}">
  <dimension ref="A1:E4"/>
  <sheetViews>
    <sheetView workbookViewId="0">
      <selection activeCell="D9" sqref="D9"/>
    </sheetView>
  </sheetViews>
  <sheetFormatPr defaultRowHeight="15" x14ac:dyDescent="0.25"/>
  <cols>
    <col min="1" max="1" width="7.85546875" customWidth="1"/>
    <col min="2" max="2" width="18.42578125" bestFit="1" customWidth="1"/>
    <col min="4" max="4" width="92.5703125" customWidth="1"/>
    <col min="5" max="5" width="19" bestFit="1" customWidth="1"/>
  </cols>
  <sheetData>
    <row r="1" spans="1:5" ht="15.75" x14ac:dyDescent="0.25">
      <c r="A1" s="15" t="s">
        <v>0</v>
      </c>
      <c r="B1" s="11" t="s">
        <v>1</v>
      </c>
      <c r="C1" s="11" t="s">
        <v>2</v>
      </c>
      <c r="D1" s="12" t="s">
        <v>3</v>
      </c>
      <c r="E1" s="13" t="s">
        <v>4</v>
      </c>
    </row>
    <row r="2" spans="1:5" ht="31.5" x14ac:dyDescent="0.25">
      <c r="A2" s="16">
        <v>1</v>
      </c>
      <c r="B2" s="1" t="s">
        <v>27</v>
      </c>
      <c r="C2" s="1" t="s">
        <v>29</v>
      </c>
      <c r="D2" s="6" t="s">
        <v>30</v>
      </c>
      <c r="E2" s="14">
        <v>45838</v>
      </c>
    </row>
    <row r="3" spans="1:5" ht="31.5" x14ac:dyDescent="0.25">
      <c r="A3" s="16">
        <v>2</v>
      </c>
      <c r="B3" s="1" t="s">
        <v>9</v>
      </c>
      <c r="C3" s="1" t="s">
        <v>13</v>
      </c>
      <c r="D3" s="3" t="s">
        <v>17</v>
      </c>
      <c r="E3" s="14">
        <v>45838</v>
      </c>
    </row>
    <row r="4" spans="1:5" ht="78.75" x14ac:dyDescent="0.25">
      <c r="A4" s="17">
        <v>3</v>
      </c>
      <c r="B4" s="7" t="s">
        <v>35</v>
      </c>
      <c r="C4" s="7" t="s">
        <v>13</v>
      </c>
      <c r="D4" s="18" t="s">
        <v>38</v>
      </c>
      <c r="E4" s="19">
        <v>45839</v>
      </c>
    </row>
  </sheetData>
  <protectedRanges>
    <protectedRange algorithmName="SHA-512" hashValue="wF3vYGrG55sBQ7X+DxB+N5lAli8DSwemQ8+d413mNaOpSrlrtbdFJ+ypWVUuKb4uwzmq2OpRLE+TJNQh5ml//g==" saltValue="AqkQxQIt8G3GHCZMb4013A==" spinCount="100000" sqref="B2" name="CC Range_3"/>
    <protectedRange algorithmName="SHA-512" hashValue="wF3vYGrG55sBQ7X+DxB+N5lAli8DSwemQ8+d413mNaOpSrlrtbdFJ+ypWVUuKb4uwzmq2OpRLE+TJNQh5ml//g==" saltValue="AqkQxQIt8G3GHCZMb4013A==" spinCount="100000" sqref="D2" name="CC Range_24"/>
    <protectedRange algorithmName="SHA-512" hashValue="wF3vYGrG55sBQ7X+DxB+N5lAli8DSwemQ8+d413mNaOpSrlrtbdFJ+ypWVUuKb4uwzmq2OpRLE+TJNQh5ml//g==" saltValue="AqkQxQIt8G3GHCZMb4013A==" spinCount="100000" sqref="E2" name="CC Range_45"/>
    <protectedRange algorithmName="SHA-512" hashValue="1ndJWp/wfFRhKV03kruDGeE+gY0FwOw8K6zpfkMRVO4e2O/CIelHjLYKgEYP5Iep1GATZqR3SFmIpwip+HQ9jg==" saltValue="MdI7mG7LS/MYq2g7jN66KA==" spinCount="100000" sqref="B4" name="DATA ENTRY_3"/>
    <protectedRange algorithmName="SHA-512" hashValue="1ndJWp/wfFRhKV03kruDGeE+gY0FwOw8K6zpfkMRVO4e2O/CIelHjLYKgEYP5Iep1GATZqR3SFmIpwip+HQ9jg==" saltValue="MdI7mG7LS/MYq2g7jN66KA==" spinCount="100000" sqref="D4" name="DATA ENTRY_6"/>
    <protectedRange algorithmName="SHA-512" hashValue="1ndJWp/wfFRhKV03kruDGeE+gY0FwOw8K6zpfkMRVO4e2O/CIelHjLYKgEYP5Iep1GATZqR3SFmIpwip+HQ9jg==" saltValue="MdI7mG7LS/MYq2g7jN66KA==" spinCount="100000" sqref="E4" name="DATA ENTRY_10"/>
  </protectedRanges>
  <dataValidations count="1">
    <dataValidation type="textLength" operator="equal" allowBlank="1" showInputMessage="1" showErrorMessage="1" sqref="B2" xr:uid="{D264462F-144B-4C7E-B7DA-81BCD2270A06}">
      <formula1>12</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2EBA5-3EF9-41CC-97AF-BAF25D5F1119}">
  <dimension ref="A1:E3"/>
  <sheetViews>
    <sheetView workbookViewId="0">
      <selection activeCell="D12" sqref="D12"/>
    </sheetView>
  </sheetViews>
  <sheetFormatPr defaultRowHeight="15" x14ac:dyDescent="0.25"/>
  <cols>
    <col min="1" max="1" width="7.42578125" customWidth="1"/>
    <col min="2" max="2" width="18.42578125" bestFit="1" customWidth="1"/>
    <col min="4" max="4" width="92.5703125" customWidth="1"/>
    <col min="5" max="5" width="19" bestFit="1" customWidth="1"/>
  </cols>
  <sheetData>
    <row r="1" spans="1:5" ht="15.75" x14ac:dyDescent="0.25">
      <c r="A1" s="9" t="s">
        <v>0</v>
      </c>
      <c r="B1" s="9" t="s">
        <v>1</v>
      </c>
      <c r="C1" s="9" t="s">
        <v>2</v>
      </c>
      <c r="D1" s="10" t="s">
        <v>3</v>
      </c>
      <c r="E1" s="9" t="s">
        <v>4</v>
      </c>
    </row>
    <row r="2" spans="1:5" ht="31.5" x14ac:dyDescent="0.25">
      <c r="A2" s="1">
        <v>1</v>
      </c>
      <c r="B2" s="1" t="s">
        <v>28</v>
      </c>
      <c r="C2" s="1" t="s">
        <v>29</v>
      </c>
      <c r="D2" s="3" t="s">
        <v>31</v>
      </c>
      <c r="E2" s="5">
        <v>45838</v>
      </c>
    </row>
    <row r="3" spans="1:5" ht="63" x14ac:dyDescent="0.25">
      <c r="A3" s="20">
        <v>2</v>
      </c>
      <c r="B3" s="1" t="s">
        <v>8</v>
      </c>
      <c r="C3" s="1" t="s">
        <v>13</v>
      </c>
      <c r="D3" s="3" t="s">
        <v>16</v>
      </c>
      <c r="E3" s="5">
        <v>45838</v>
      </c>
    </row>
  </sheetData>
  <protectedRanges>
    <protectedRange algorithmName="SHA-512" hashValue="wF3vYGrG55sBQ7X+DxB+N5lAli8DSwemQ8+d413mNaOpSrlrtbdFJ+ypWVUuKb4uwzmq2OpRLE+TJNQh5ml//g==" saltValue="AqkQxQIt8G3GHCZMb4013A==" spinCount="100000" sqref="B2" name="CC Range_18"/>
    <protectedRange algorithmName="SHA-512" hashValue="wF3vYGrG55sBQ7X+DxB+N5lAli8DSwemQ8+d413mNaOpSrlrtbdFJ+ypWVUuKb4uwzmq2OpRLE+TJNQh5ml//g==" saltValue="AqkQxQIt8G3GHCZMb4013A==" spinCount="100000" sqref="D2" name="CC Range_39"/>
    <protectedRange algorithmName="SHA-512" hashValue="wF3vYGrG55sBQ7X+DxB+N5lAli8DSwemQ8+d413mNaOpSrlrtbdFJ+ypWVUuKb4uwzmq2OpRLE+TJNQh5ml//g==" saltValue="AqkQxQIt8G3GHCZMb4013A==" spinCount="100000" sqref="E2" name="CC Range_60"/>
  </protectedRanges>
  <dataValidations count="1">
    <dataValidation type="textLength" operator="equal" allowBlank="1" showInputMessage="1" showErrorMessage="1" sqref="B2" xr:uid="{B1182EAD-04F3-4B93-ADDA-9CCAE0617B26}">
      <formula1>12</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359D0-B26E-4E2E-B0C0-07BFD33985B5}">
  <sheetPr>
    <pageSetUpPr fitToPage="1"/>
  </sheetPr>
  <dimension ref="A1:O13"/>
  <sheetViews>
    <sheetView zoomScaleNormal="100" workbookViewId="0">
      <pane ySplit="1" topLeftCell="A2" activePane="bottomLeft" state="frozen"/>
      <selection pane="bottomLeft" activeCell="A14" sqref="A14"/>
    </sheetView>
  </sheetViews>
  <sheetFormatPr defaultRowHeight="15" x14ac:dyDescent="0.25"/>
  <cols>
    <col min="1" max="1" width="14" bestFit="1" customWidth="1"/>
    <col min="2" max="2" width="19.140625" bestFit="1" customWidth="1"/>
    <col min="4" max="4" width="42.7109375" customWidth="1"/>
    <col min="5" max="5" width="18.5703125" hidden="1" customWidth="1"/>
    <col min="6" max="6" width="16.7109375" customWidth="1"/>
    <col min="7" max="7" width="16.85546875" bestFit="1" customWidth="1"/>
    <col min="8" max="8" width="19.85546875" hidden="1" customWidth="1"/>
    <col min="9" max="9" width="168.5703125" hidden="1" customWidth="1"/>
    <col min="10" max="10" width="17.5703125" customWidth="1"/>
    <col min="11" max="11" width="16.140625" hidden="1" customWidth="1"/>
    <col min="12" max="12" width="21.85546875" customWidth="1"/>
    <col min="13" max="13" width="22.5703125" customWidth="1"/>
    <col min="14" max="14" width="22.5703125" style="32" customWidth="1"/>
    <col min="15" max="15" width="22.5703125" customWidth="1"/>
  </cols>
  <sheetData>
    <row r="1" spans="1:15" ht="38.25" x14ac:dyDescent="0.25">
      <c r="A1" s="21" t="s">
        <v>39</v>
      </c>
      <c r="B1" s="21" t="s">
        <v>40</v>
      </c>
      <c r="C1" s="22" t="s">
        <v>41</v>
      </c>
      <c r="D1" s="22" t="s">
        <v>42</v>
      </c>
      <c r="E1" s="22" t="s">
        <v>43</v>
      </c>
      <c r="F1" s="22" t="s">
        <v>44</v>
      </c>
      <c r="G1" s="21" t="s">
        <v>45</v>
      </c>
      <c r="H1" s="22" t="s">
        <v>46</v>
      </c>
      <c r="I1" s="22" t="s">
        <v>47</v>
      </c>
      <c r="J1" s="21" t="s">
        <v>4</v>
      </c>
      <c r="K1" s="22" t="s">
        <v>48</v>
      </c>
      <c r="L1" s="21" t="s">
        <v>49</v>
      </c>
      <c r="M1" s="21" t="s">
        <v>50</v>
      </c>
      <c r="N1" s="21" t="s">
        <v>77</v>
      </c>
      <c r="O1" s="28"/>
    </row>
    <row r="2" spans="1:15" ht="75" x14ac:dyDescent="0.25">
      <c r="A2" s="23">
        <v>45777</v>
      </c>
      <c r="B2" s="20" t="s">
        <v>5</v>
      </c>
      <c r="C2" s="20" t="str">
        <f t="shared" ref="C2:C10" si="0">MID(B2,6,2)</f>
        <v>PD</v>
      </c>
      <c r="D2" s="24" t="s">
        <v>76</v>
      </c>
      <c r="E2" s="24" t="s">
        <v>52</v>
      </c>
      <c r="F2" s="24" t="s">
        <v>53</v>
      </c>
      <c r="G2" s="23">
        <v>45777</v>
      </c>
      <c r="H2" s="24" t="s">
        <v>54</v>
      </c>
      <c r="I2" s="24" t="s">
        <v>55</v>
      </c>
      <c r="J2" s="23">
        <v>45991</v>
      </c>
      <c r="K2" s="20"/>
      <c r="L2" s="23"/>
      <c r="M2" s="23"/>
      <c r="N2" s="23" t="s">
        <v>86</v>
      </c>
      <c r="O2" s="29"/>
    </row>
    <row r="3" spans="1:15" ht="60" x14ac:dyDescent="0.25">
      <c r="A3" s="23">
        <v>45787</v>
      </c>
      <c r="B3" s="20" t="s">
        <v>6</v>
      </c>
      <c r="C3" s="20" t="str">
        <f t="shared" si="0"/>
        <v>QC</v>
      </c>
      <c r="D3" s="24" t="s">
        <v>14</v>
      </c>
      <c r="E3" s="20" t="s">
        <v>32</v>
      </c>
      <c r="F3" s="24" t="s">
        <v>32</v>
      </c>
      <c r="G3" s="23">
        <v>45787</v>
      </c>
      <c r="H3" s="20" t="s">
        <v>56</v>
      </c>
      <c r="I3" s="24" t="s">
        <v>57</v>
      </c>
      <c r="J3" s="23">
        <v>45838</v>
      </c>
      <c r="K3" s="20"/>
      <c r="L3" s="23"/>
      <c r="M3" s="23"/>
      <c r="N3" s="31" t="s">
        <v>83</v>
      </c>
      <c r="O3" s="29"/>
    </row>
    <row r="4" spans="1:15" ht="60" x14ac:dyDescent="0.25">
      <c r="A4" s="23">
        <v>45793</v>
      </c>
      <c r="B4" s="20" t="s">
        <v>7</v>
      </c>
      <c r="C4" s="20" t="str">
        <f t="shared" si="0"/>
        <v>QC</v>
      </c>
      <c r="D4" s="25" t="s">
        <v>15</v>
      </c>
      <c r="E4" s="20" t="s">
        <v>32</v>
      </c>
      <c r="F4" s="24" t="s">
        <v>32</v>
      </c>
      <c r="G4" s="23">
        <v>45793</v>
      </c>
      <c r="H4" s="20" t="s">
        <v>58</v>
      </c>
      <c r="I4" s="24"/>
      <c r="J4" s="23">
        <v>45899</v>
      </c>
      <c r="K4" s="20"/>
      <c r="L4" s="23"/>
      <c r="M4" s="23"/>
      <c r="N4" s="31" t="s">
        <v>78</v>
      </c>
      <c r="O4" s="30"/>
    </row>
    <row r="5" spans="1:15" ht="90" x14ac:dyDescent="0.25">
      <c r="A5" s="23">
        <v>45793</v>
      </c>
      <c r="B5" s="20" t="s">
        <v>8</v>
      </c>
      <c r="C5" s="20" t="str">
        <f t="shared" si="0"/>
        <v>QC</v>
      </c>
      <c r="D5" s="24" t="s">
        <v>16</v>
      </c>
      <c r="E5" s="20" t="s">
        <v>32</v>
      </c>
      <c r="F5" s="24" t="s">
        <v>59</v>
      </c>
      <c r="G5" s="23">
        <v>45793</v>
      </c>
      <c r="H5" s="20" t="s">
        <v>60</v>
      </c>
      <c r="I5" s="24"/>
      <c r="J5" s="23">
        <v>45838</v>
      </c>
      <c r="K5" s="20"/>
      <c r="L5" s="23"/>
      <c r="M5" s="23"/>
      <c r="N5" s="31" t="s">
        <v>83</v>
      </c>
      <c r="O5" s="29"/>
    </row>
    <row r="6" spans="1:15" ht="45" x14ac:dyDescent="0.25">
      <c r="A6" s="23">
        <v>45798</v>
      </c>
      <c r="B6" s="20" t="s">
        <v>9</v>
      </c>
      <c r="C6" s="20" t="str">
        <f t="shared" si="0"/>
        <v>PD</v>
      </c>
      <c r="D6" s="24" t="s">
        <v>17</v>
      </c>
      <c r="E6" s="20" t="s">
        <v>32</v>
      </c>
      <c r="F6" s="24" t="s">
        <v>32</v>
      </c>
      <c r="G6" s="23">
        <v>45798</v>
      </c>
      <c r="H6" s="20" t="s">
        <v>61</v>
      </c>
      <c r="I6" s="24" t="s">
        <v>62</v>
      </c>
      <c r="J6" s="23">
        <v>45838</v>
      </c>
      <c r="K6" s="20"/>
      <c r="L6" s="23"/>
      <c r="M6" s="23"/>
      <c r="N6" s="31" t="s">
        <v>84</v>
      </c>
      <c r="O6" s="30"/>
    </row>
    <row r="7" spans="1:15" ht="75" x14ac:dyDescent="0.25">
      <c r="A7" s="23">
        <v>45799</v>
      </c>
      <c r="B7" s="20" t="s">
        <v>10</v>
      </c>
      <c r="C7" s="20" t="str">
        <f t="shared" si="0"/>
        <v>PD</v>
      </c>
      <c r="D7" s="24" t="s">
        <v>18</v>
      </c>
      <c r="E7" s="20" t="s">
        <v>32</v>
      </c>
      <c r="F7" s="24" t="s">
        <v>63</v>
      </c>
      <c r="G7" s="23">
        <v>45799</v>
      </c>
      <c r="H7" s="20" t="s">
        <v>21</v>
      </c>
      <c r="I7" s="26" t="s">
        <v>22</v>
      </c>
      <c r="J7" s="23">
        <v>45807</v>
      </c>
      <c r="K7" s="27"/>
      <c r="L7" s="23"/>
      <c r="M7" s="23"/>
      <c r="N7" s="31" t="s">
        <v>83</v>
      </c>
      <c r="O7" s="29"/>
    </row>
    <row r="8" spans="1:15" ht="75" x14ac:dyDescent="0.25">
      <c r="A8" s="23">
        <v>45822</v>
      </c>
      <c r="B8" s="20" t="s">
        <v>11</v>
      </c>
      <c r="C8" s="20" t="str">
        <f t="shared" si="0"/>
        <v>PD</v>
      </c>
      <c r="D8" s="24" t="s">
        <v>19</v>
      </c>
      <c r="E8" s="20"/>
      <c r="F8" s="24" t="s">
        <v>64</v>
      </c>
      <c r="G8" s="23">
        <v>45836</v>
      </c>
      <c r="H8" s="24" t="s">
        <v>24</v>
      </c>
      <c r="I8" s="24" t="s">
        <v>26</v>
      </c>
      <c r="J8" s="23">
        <v>45930</v>
      </c>
      <c r="K8" s="27"/>
      <c r="L8" s="23"/>
      <c r="M8" s="23"/>
      <c r="N8" s="23" t="s">
        <v>79</v>
      </c>
      <c r="O8" s="29"/>
    </row>
    <row r="9" spans="1:15" ht="60" x14ac:dyDescent="0.25">
      <c r="A9" s="23">
        <v>45833</v>
      </c>
      <c r="B9" s="20" t="s">
        <v>12</v>
      </c>
      <c r="C9" s="20" t="str">
        <f t="shared" si="0"/>
        <v>PD</v>
      </c>
      <c r="D9" s="24" t="s">
        <v>20</v>
      </c>
      <c r="E9" s="24" t="s">
        <v>65</v>
      </c>
      <c r="F9" s="24" t="s">
        <v>66</v>
      </c>
      <c r="G9" s="23">
        <v>45833</v>
      </c>
      <c r="H9" s="20" t="s">
        <v>23</v>
      </c>
      <c r="I9" s="20" t="s">
        <v>25</v>
      </c>
      <c r="J9" s="23">
        <v>45899</v>
      </c>
      <c r="K9" s="27"/>
      <c r="L9" s="23"/>
      <c r="M9" s="23"/>
      <c r="N9" s="23" t="s">
        <v>80</v>
      </c>
      <c r="O9" s="29"/>
    </row>
    <row r="10" spans="1:15" ht="75" x14ac:dyDescent="0.25">
      <c r="A10" s="23">
        <v>45842</v>
      </c>
      <c r="B10" s="20" t="s">
        <v>67</v>
      </c>
      <c r="C10" s="20" t="str">
        <f t="shared" si="0"/>
        <v>QC</v>
      </c>
      <c r="D10" s="24" t="s">
        <v>68</v>
      </c>
      <c r="E10" s="24" t="s">
        <v>32</v>
      </c>
      <c r="F10" s="24" t="s">
        <v>69</v>
      </c>
      <c r="G10" s="23">
        <v>45842</v>
      </c>
      <c r="H10" s="24" t="s">
        <v>70</v>
      </c>
      <c r="I10" s="24" t="s">
        <v>71</v>
      </c>
      <c r="J10" s="23">
        <v>45877</v>
      </c>
      <c r="K10" s="27"/>
      <c r="L10" s="23"/>
      <c r="M10" s="23"/>
      <c r="N10" s="23" t="s">
        <v>81</v>
      </c>
      <c r="O10" s="29"/>
    </row>
    <row r="11" spans="1:15" ht="60" x14ac:dyDescent="0.25">
      <c r="A11" s="23">
        <v>45176</v>
      </c>
      <c r="B11" s="20" t="s">
        <v>33</v>
      </c>
      <c r="C11" s="20" t="s">
        <v>51</v>
      </c>
      <c r="D11" s="24" t="s">
        <v>36</v>
      </c>
      <c r="E11" s="20" t="s">
        <v>32</v>
      </c>
      <c r="F11" s="24" t="s">
        <v>72</v>
      </c>
      <c r="G11" s="23">
        <v>45176</v>
      </c>
      <c r="H11" s="23"/>
      <c r="I11" s="27"/>
      <c r="J11" s="23">
        <v>45260</v>
      </c>
      <c r="K11" s="27">
        <v>2</v>
      </c>
      <c r="L11" s="23">
        <v>45656</v>
      </c>
      <c r="M11" s="23">
        <v>46022</v>
      </c>
      <c r="N11" s="23" t="s">
        <v>82</v>
      </c>
      <c r="O11" s="29"/>
    </row>
    <row r="12" spans="1:15" ht="165" x14ac:dyDescent="0.25">
      <c r="A12" s="23">
        <v>45227</v>
      </c>
      <c r="B12" s="20" t="s">
        <v>34</v>
      </c>
      <c r="C12" s="20" t="s">
        <v>51</v>
      </c>
      <c r="D12" s="24" t="s">
        <v>37</v>
      </c>
      <c r="E12" s="20" t="s">
        <v>73</v>
      </c>
      <c r="F12" s="24" t="s">
        <v>74</v>
      </c>
      <c r="G12" s="23">
        <v>45227</v>
      </c>
      <c r="H12" s="23"/>
      <c r="I12" s="20"/>
      <c r="J12" s="23">
        <v>45321</v>
      </c>
      <c r="K12" s="20">
        <v>2</v>
      </c>
      <c r="L12" s="23">
        <v>45687</v>
      </c>
      <c r="M12" s="23">
        <v>46022</v>
      </c>
      <c r="N12" s="23" t="s">
        <v>81</v>
      </c>
      <c r="O12" s="29"/>
    </row>
    <row r="13" spans="1:15" ht="150" x14ac:dyDescent="0.25">
      <c r="A13" s="23">
        <v>45238</v>
      </c>
      <c r="B13" s="20" t="s">
        <v>35</v>
      </c>
      <c r="C13" s="20" t="s">
        <v>51</v>
      </c>
      <c r="D13" s="24" t="s">
        <v>38</v>
      </c>
      <c r="E13" s="20" t="s">
        <v>73</v>
      </c>
      <c r="F13" s="24" t="s">
        <v>75</v>
      </c>
      <c r="G13" s="23">
        <v>45239</v>
      </c>
      <c r="H13" s="23"/>
      <c r="I13" s="20"/>
      <c r="J13" s="23">
        <v>45656</v>
      </c>
      <c r="K13" s="20">
        <v>1</v>
      </c>
      <c r="L13" s="23">
        <v>45839</v>
      </c>
      <c r="M13" s="23"/>
      <c r="N13" s="31" t="s">
        <v>85</v>
      </c>
      <c r="O13" s="29"/>
    </row>
  </sheetData>
  <protectedRanges>
    <protectedRange algorithmName="SHA-512" hashValue="eGBBB0z0sMCAtwkPnSpKPWF0MJ/hpbYyV3PVNpxnSAmgdpo8JLbRtS9nndwo8EEiq3IcswZiZCXzktGoItwGRQ==" saltValue="m4uGzihyeX6Ht51eU0fGoQ==" spinCount="100000" sqref="A1:O1" name="Range1_4"/>
    <protectedRange algorithmName="SHA-512" hashValue="eGBBB0z0sMCAtwkPnSpKPWF0MJ/hpbYyV3PVNpxnSAmgdpo8JLbRtS9nndwo8EEiq3IcswZiZCXzktGoItwGRQ==" saltValue="m4uGzihyeX6Ht51eU0fGoQ==" spinCount="100000" sqref="A8:O10 A6:H7 A2:O5 J6:O7" name="Range1_5"/>
    <protectedRange algorithmName="SHA-512" hashValue="z4kidGjfxCuvTv78n6dIZEsZF1q5u4oarja5lPrhsHHzhAwiHNZbW83R+TaBoKFtScMenvi7p09YpwW389a3og==" saltValue="YvSgaN4EZGe9LzZz0lzC+A==" spinCount="100000" sqref="I6" name="DATA ENTRY_2"/>
    <protectedRange algorithmName="SHA-512" hashValue="bBKWUxnPhH2ABztyCsyOCA85/vsx0LqHWyN/NaexehePXsxEFA7mjBy3TKXWhhR1nwN8YnMKqvBmj0B3uPVZ1A==" saltValue="GHyjBwzJF7Pn/CtDv21amQ==" spinCount="100000" sqref="I7" name="Range1_1_3"/>
    <protectedRange algorithmName="SHA-512" hashValue="1ndJWp/wfFRhKV03kruDGeE+gY0FwOw8K6zpfkMRVO4e2O/CIelHjLYKgEYP5Iep1GATZqR3SFmIpwip+HQ9jg==" saltValue="MdI7mG7LS/MYq2g7jN66KA==" spinCount="100000" sqref="A11:F11" name="DATA ENTRY_4"/>
    <protectedRange algorithmName="SHA-512" hashValue="1ndJWp/wfFRhKV03kruDGeE+gY0FwOw8K6zpfkMRVO4e2O/CIelHjLYKgEYP5Iep1GATZqR3SFmIpwip+HQ9jg==" saltValue="MdI7mG7LS/MYq2g7jN66KA==" spinCount="100000" sqref="A12:F13" name="DATA ENTRY_5"/>
    <protectedRange algorithmName="SHA-512" hashValue="1ndJWp/wfFRhKV03kruDGeE+gY0FwOw8K6zpfkMRVO4e2O/CIelHjLYKgEYP5Iep1GATZqR3SFmIpwip+HQ9jg==" saltValue="MdI7mG7LS/MYq2g7jN66KA==" spinCount="100000" sqref="H11:I11" name="DATA ENTRY_7"/>
    <protectedRange algorithmName="SHA-512" hashValue="1ndJWp/wfFRhKV03kruDGeE+gY0FwOw8K6zpfkMRVO4e2O/CIelHjLYKgEYP5Iep1GATZqR3SFmIpwip+HQ9jg==" saltValue="MdI7mG7LS/MYq2g7jN66KA==" spinCount="100000" sqref="H12:I13" name="DATA ENTRY_9"/>
    <protectedRange algorithmName="SHA-512" hashValue="1ndJWp/wfFRhKV03kruDGeE+gY0FwOw8K6zpfkMRVO4e2O/CIelHjLYKgEYP5Iep1GATZqR3SFmIpwip+HQ9jg==" saltValue="MdI7mG7LS/MYq2g7jN66KA==" spinCount="100000" sqref="G11" name="DATA ENTRY_14"/>
    <protectedRange algorithmName="SHA-512" hashValue="1ndJWp/wfFRhKV03kruDGeE+gY0FwOw8K6zpfkMRVO4e2O/CIelHjLYKgEYP5Iep1GATZqR3SFmIpwip+HQ9jg==" saltValue="MdI7mG7LS/MYq2g7jN66KA==" spinCount="100000" sqref="G12:G13" name="DATA ENTRY_15"/>
    <protectedRange algorithmName="SHA-512" hashValue="1ndJWp/wfFRhKV03kruDGeE+gY0FwOw8K6zpfkMRVO4e2O/CIelHjLYKgEYP5Iep1GATZqR3SFmIpwip+HQ9jg==" saltValue="MdI7mG7LS/MYq2g7jN66KA==" spinCount="100000" sqref="J11:O11" name="DATA ENTRY_16"/>
    <protectedRange algorithmName="SHA-512" hashValue="1ndJWp/wfFRhKV03kruDGeE+gY0FwOw8K6zpfkMRVO4e2O/CIelHjLYKgEYP5Iep1GATZqR3SFmIpwip+HQ9jg==" saltValue="MdI7mG7LS/MYq2g7jN66KA==" spinCount="100000" sqref="J12:O13" name="DATA ENTRY_17"/>
  </protectedRanges>
  <autoFilter ref="A1:N13" xr:uid="{422359D0-B26E-4E2E-B0C0-07BFD33985B5}"/>
  <dataValidations count="2">
    <dataValidation type="list" allowBlank="1" showDropDown="1" showInputMessage="1" showErrorMessage="1" sqref="K1 K7:K11 I11" xr:uid="{47ED5588-EA31-4009-BB93-2BADF2336725}">
      <formula1>"0,1,2"</formula1>
    </dataValidation>
    <dataValidation type="textLength" operator="equal" allowBlank="1" showInputMessage="1" showErrorMessage="1" sqref="B7:B11" xr:uid="{68FBFE4A-373D-4DAE-AF29-BEC3856AF93F}">
      <formula1>14</formula1>
    </dataValidation>
  </dataValidations>
  <pageMargins left="0.7" right="0.7" top="0.75" bottom="0.75" header="0.3" footer="0.3"/>
  <pageSetup paperSize="9" scale="58"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GTBClassification>
  <attrValue>Confidential</attrValue>
  <customPropName>Classification</customPropName>
  <timestamp> 8/20/2025 11:34:48 AM</timestamp>
  <userName>System</userName>
  <computerName>ITS186</computerName>
  <guid>{15386166-EB08-43C4-932D-045529B8598C}</guid>
</GTBClassification>
</file>

<file path=customXml/itemProps1.xml><?xml version="1.0" encoding="utf-8"?>
<ds:datastoreItem xmlns:ds="http://schemas.openxmlformats.org/officeDocument/2006/customXml" ds:itemID="{C2760793-CBAD-4FDD-91FF-6FDEE911657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OPEN QMS</vt:lpstr>
      <vt:lpstr>30-6-25 PD</vt:lpstr>
      <vt:lpstr>30-6-25 QC</vt:lpstr>
      <vt:lpstr>CAPA status</vt:lpstr>
      <vt:lpstr>'OPEN QMS'!Print_Area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Ganapathi Polisetti</dc:creator>
  <cp:keywords>ClassificationData:&lt;Classification:Confidential&gt;</cp:keywords>
  <cp:lastModifiedBy>Ganapathi Polisetti</cp:lastModifiedBy>
  <cp:lastPrinted>2025-09-05T06:13:51Z</cp:lastPrinted>
  <dcterms:created xsi:type="dcterms:W3CDTF">2015-06-05T18:17:20Z</dcterms:created>
  <dcterms:modified xsi:type="dcterms:W3CDTF">2025-09-14T15:54:02Z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Confidential</vt:lpwstr>
  </property>
  <property fmtid="{D5CDD505-2E9C-101B-9397-08002B2CF9AE}" pid="3" name="ClassifiedBy">
    <vt:lpwstr>System</vt:lpwstr>
  </property>
  <property fmtid="{D5CDD505-2E9C-101B-9397-08002B2CF9AE}" pid="4" name="ClassificationHost">
    <vt:lpwstr>ITS186</vt:lpwstr>
  </property>
  <property fmtid="{D5CDD505-2E9C-101B-9397-08002B2CF9AE}" pid="5" name="ClassificationDate">
    <vt:lpwstr> 8/20/2025 11:34:48 AM</vt:lpwstr>
  </property>
  <property fmtid="{D5CDD505-2E9C-101B-9397-08002B2CF9AE}" pid="6" name="ClassificationGUID">
    <vt:lpwstr>{15386166-EB08-43C4-932D-045529B8598C}</vt:lpwstr>
  </property>
</Properties>
</file>